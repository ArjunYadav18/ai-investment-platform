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dav\ai-investment-platform\"/>
    </mc:Choice>
  </mc:AlternateContent>
  <xr:revisionPtr revIDLastSave="0" documentId="13_ncr:1_{52642B68-26D7-4A34-BAFF-7043F6ED7ADD}" xr6:coauthVersionLast="47" xr6:coauthVersionMax="47" xr10:uidLastSave="{00000000-0000-0000-0000-000000000000}"/>
  <bookViews>
    <workbookView xWindow="-98" yWindow="-98" windowWidth="21795" windowHeight="13695" activeTab="1" xr2:uid="{EF99A466-ADDF-40C5-8074-CFAB4242DE69}"/>
  </bookViews>
  <sheets>
    <sheet name="financial calculation" sheetId="1" r:id="rId1"/>
    <sheet name="Dashboard" sheetId="2" r:id="rId2"/>
  </sheets>
  <definedNames>
    <definedName name="solver_adj" localSheetId="0" hidden="1">'financial calculation'!$K$2:$K$7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'financial calculation'!$K$2:$K$7</definedName>
    <definedName name="solver_lhs2" localSheetId="0" hidden="1">'financial calculation'!$K$8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'financial calculation'!$E$17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hs1" localSheetId="0" hidden="1">0</definedName>
    <definedName name="solver_rhs2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E11" i="1" a="1"/>
  <c r="E11" i="1" s="1"/>
  <c r="C3" i="1"/>
  <c r="C4" i="1"/>
  <c r="C5" i="1"/>
  <c r="C6" i="1"/>
  <c r="C7" i="1"/>
  <c r="C2" i="1"/>
  <c r="L8" i="1"/>
  <c r="E10" i="1" l="1"/>
  <c r="E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<sst xmlns="http://schemas.openxmlformats.org/spreadsheetml/2006/main" count="47" uniqueCount="18">
  <si>
    <t>Ticker</t>
  </si>
  <si>
    <t>AAPL</t>
  </si>
  <si>
    <t>JNJ</t>
  </si>
  <si>
    <t>JPM</t>
  </si>
  <si>
    <t>MSFT</t>
  </si>
  <si>
    <t>PG</t>
  </si>
  <si>
    <t>XOM</t>
  </si>
  <si>
    <t>Risk-Free Rate</t>
  </si>
  <si>
    <t>Portfolio Return</t>
  </si>
  <si>
    <t>Sharpe ratio</t>
  </si>
  <si>
    <t>Portfolio Volatility</t>
  </si>
  <si>
    <t>sentiment_score</t>
  </si>
  <si>
    <t>Scaling Factor</t>
  </si>
  <si>
    <t>Adjusted Return</t>
  </si>
  <si>
    <t xml:space="preserve">       AI-Enhanced Investment Decision Platform.</t>
  </si>
  <si>
    <t>Baseline weights</t>
  </si>
  <si>
    <t>Final Weights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</si>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</sst>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AI-Adjusted 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'financial calculation'!$M$2:$M$7</c:f>
              <c:strCache>
                <c:ptCount val="6"/>
                <c:pt idx="0">
                  <c:v>AAPL</c:v>
                </c:pt>
                <c:pt idx="1">
                  <c:v>JNJ</c:v>
                </c:pt>
                <c:pt idx="2">
                  <c:v>JPM</c:v>
                </c:pt>
                <c:pt idx="3">
                  <c:v>MSFT</c:v>
                </c:pt>
                <c:pt idx="4">
                  <c:v>PG</c:v>
                </c:pt>
                <c:pt idx="5">
                  <c:v>XOM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1E-4DB4-9DC8-DE872799D7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1E-4DB4-9DC8-DE872799D7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1E-4DB4-9DC8-DE872799D7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31E-4DB4-9DC8-DE872799D7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31E-4DB4-9DC8-DE872799D7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31E-4DB4-9DC8-DE872799D7C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'financial calculation'!$M$2:$M$7</c:f>
              <c:strCache>
                <c:ptCount val="6"/>
                <c:pt idx="0">
                  <c:v>AAPL</c:v>
                </c:pt>
                <c:pt idx="1">
                  <c:v>JNJ</c:v>
                </c:pt>
                <c:pt idx="2">
                  <c:v>JPM</c:v>
                </c:pt>
                <c:pt idx="3">
                  <c:v>MSFT</c:v>
                </c:pt>
                <c:pt idx="4">
                  <c:v>PG</c:v>
                </c:pt>
                <c:pt idx="5">
                  <c:v>XOM</c:v>
                </c:pt>
              </c:strCache>
            </c:strRef>
          </c:cat>
          <c:val>
            <c:numRef>
              <c:f>'financial calculation'!$L$2:$L$7</c:f>
              <c:numCache>
                <c:formatCode>General</c:formatCode>
                <c:ptCount val="6"/>
                <c:pt idx="0">
                  <c:v>5.9843634197266501E-2</c:v>
                </c:pt>
                <c:pt idx="1">
                  <c:v>5.3666099622987538E-2</c:v>
                </c:pt>
                <c:pt idx="2">
                  <c:v>0.16455882571201877</c:v>
                </c:pt>
                <c:pt idx="3">
                  <c:v>0.35956494634380703</c:v>
                </c:pt>
                <c:pt idx="4">
                  <c:v>0</c:v>
                </c:pt>
                <c:pt idx="5">
                  <c:v>0.36236649405079435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31E-4DB4-9DC8-DE872799D7C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Baseline 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'financial calculation'!$M$2:$M$7</c:f>
              <c:strCache>
                <c:ptCount val="6"/>
                <c:pt idx="0">
                  <c:v>AAPL</c:v>
                </c:pt>
                <c:pt idx="1">
                  <c:v>JNJ</c:v>
                </c:pt>
                <c:pt idx="2">
                  <c:v>JPM</c:v>
                </c:pt>
                <c:pt idx="3">
                  <c:v>MSFT</c:v>
                </c:pt>
                <c:pt idx="4">
                  <c:v>PG</c:v>
                </c:pt>
                <c:pt idx="5">
                  <c:v>XOM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D50-4F00-BDFD-553C07BE84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D50-4F00-BDFD-553C07BE84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D50-4F00-BDFD-553C07BE84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D50-4F00-BDFD-553C07BE84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D50-4F00-BDFD-553C07BE84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D50-4F00-BDFD-553C07BE840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'financial calculation'!$M$2:$M$7</c:f>
              <c:strCache>
                <c:ptCount val="6"/>
                <c:pt idx="0">
                  <c:v>AAPL</c:v>
                </c:pt>
                <c:pt idx="1">
                  <c:v>JNJ</c:v>
                </c:pt>
                <c:pt idx="2">
                  <c:v>JPM</c:v>
                </c:pt>
                <c:pt idx="3">
                  <c:v>MSFT</c:v>
                </c:pt>
                <c:pt idx="4">
                  <c:v>PG</c:v>
                </c:pt>
                <c:pt idx="5">
                  <c:v>XOM</c:v>
                </c:pt>
              </c:strCache>
            </c:strRef>
          </c:cat>
          <c:val>
            <c:numRef>
              <c:f>'financial calculation'!$K$2:$K$7</c:f>
              <c:numCache>
                <c:formatCode>General</c:formatCode>
                <c:ptCount val="6"/>
                <c:pt idx="0">
                  <c:v>8.6378312501976195E-2</c:v>
                </c:pt>
                <c:pt idx="1">
                  <c:v>2.4073916791035981E-2</c:v>
                </c:pt>
                <c:pt idx="2">
                  <c:v>0.15945472574860325</c:v>
                </c:pt>
                <c:pt idx="3">
                  <c:v>0.36113744259714858</c:v>
                </c:pt>
                <c:pt idx="4">
                  <c:v>0</c:v>
                </c:pt>
                <c:pt idx="5">
                  <c:v>0.36895560236123559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D50-4F00-BDFD-553C07BE840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623886</xdr:colOff>
      <xdr:row>3</xdr:row>
      <xdr:rowOff>71438</xdr:rowOff>
    </xdr:from>
    <xdr:to>
      <xdr:col>9</xdr:col>
      <xdr:colOff>557213</xdr:colOff>
      <xdr:row>8</xdr:row>
      <xdr:rowOff>157163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1B0BBB0-1383-EDAA-87B7-B44471E126E0}"/>
            </a:ext>
          </a:extLst>
        </xdr:cNvPr>
        <xdr:cNvSpPr txBox="1"/>
      </xdr:nvSpPr>
      <xdr:spPr>
        <a:xfrm>
          <a:off x="623886" y="623888"/>
          <a:ext cx="8677277" cy="99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The AI-Adjusted portfolio is recommended. The model reduced allocation to stocks with negative sentiment (AAPL) and increased allocation to those with strong fundamentals and positive news (JNJ, MSFT), showcasing a data-driven approach that blends historicals with forward-looking insights.</a:t>
          </a:r>
        </a:p>
      </xdr:txBody>
    </xdr:sp>
    <xdr:clientData/>
  </xdr:twoCellAnchor>
  <xdr:twoCellAnchor>
    <xdr:from>
      <xdr:col>0</xdr:col>
      <xdr:colOff>657225</xdr:colOff>
      <xdr:row>9</xdr:row>
      <xdr:rowOff>176212</xdr:rowOff>
    </xdr:from>
    <xdr:to>
      <xdr:col>5</xdr:col>
      <xdr:colOff>828675</xdr:colOff>
      <xdr:row>25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BAFE17-BD0B-4594-B37C-B89DA7013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42862</xdr:colOff>
      <xdr:row>9</xdr:row>
      <xdr:rowOff>142875</xdr:rowOff>
    </xdr:from>
    <xdr:to>
      <xdr:col>10</xdr:col>
      <xdr:colOff>728662</xdr:colOff>
      <xdr:row>24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5A4D54-66FE-44DA-AE15-8C8E285843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687917</xdr:colOff>
      <xdr:row>27</xdr:row>
      <xdr:rowOff>33072</xdr:rowOff>
    </xdr:from>
    <xdr:to>
      <xdr:col>10</xdr:col>
      <xdr:colOff>674687</xdr:colOff>
      <xdr:row>37</xdr:row>
      <xdr:rowOff>52916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AE86C15-A5F4-225C-DE96-08E89F583A5E}"/>
            </a:ext>
          </a:extLst>
        </xdr:cNvPr>
        <xdr:cNvSpPr txBox="1"/>
      </xdr:nvSpPr>
      <xdr:spPr>
        <a:xfrm>
          <a:off x="687917" y="4868333"/>
          <a:ext cx="9710208" cy="18057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/>
            <a:t>Qualitative Insights from 10-K Reports</a:t>
          </a:r>
        </a:p>
        <a:p>
          <a:endParaRPr lang="en-IN" b="1"/>
        </a:p>
        <a:p>
          <a:r>
            <a:rPr lang="en-IN" sz="1400" b="1"/>
            <a:t>AAPL:</a:t>
          </a:r>
          <a:r>
            <a:rPr lang="en-IN" sz="1400"/>
            <a:t> Strong iPhone &amp; Services sales performance was partially offset by unfavorable foreign currency exchange rates.</a:t>
          </a:r>
        </a:p>
        <a:p>
          <a:r>
            <a:rPr lang="en-IN" sz="1400" b="1"/>
            <a:t>MSFT:</a:t>
          </a:r>
          <a:r>
            <a:rPr lang="en-IN" sz="1400"/>
            <a:t> Showed excellent momentum in its critical cloud division, with revenue growing 23% to $168.9 billion.</a:t>
          </a:r>
        </a:p>
        <a:p>
          <a:r>
            <a:rPr lang="en-IN" sz="1400" b="1"/>
            <a:t>JPM:</a:t>
          </a:r>
          <a:r>
            <a:rPr lang="en-IN" sz="1400"/>
            <a:t> The report's complexity meant the AI primarily extracted boilerplate, highlighting a need for deeper, manual analysis.</a:t>
          </a:r>
        </a:p>
        <a:p>
          <a:r>
            <a:rPr lang="en-IN" sz="1400" b="1"/>
            <a:t>PG:</a:t>
          </a:r>
          <a:r>
            <a:rPr lang="en-IN" sz="1400"/>
            <a:t> Management discussion adopted a cautious tone, emphasizing the management of global financial risks.</a:t>
          </a:r>
        </a:p>
        <a:p>
          <a:r>
            <a:rPr lang="en-IN" sz="1400" b="1"/>
            <a:t>JNJ:</a:t>
          </a:r>
          <a:r>
            <a:rPr lang="en-IN" sz="1400"/>
            <a:t> Describes a large, stable, and diversified global healthcare business focused on key growth areas like Oncology.</a:t>
          </a:r>
        </a:p>
        <a:p>
          <a:r>
            <a:rPr lang="en-IN" sz="1400" b="1"/>
            <a:t>XOM:</a:t>
          </a:r>
          <a:r>
            <a:rPr lang="en-IN" sz="1400"/>
            <a:t> The report's heavy use of tables was not suited for the text-based AI, indicating a need for more advanced data extraction.</a:t>
          </a:r>
        </a:p>
        <a:p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75D295-C3AD-4082-B44B-695441E4CD14}" name="Table2" displayName="Table2" ref="L11:M17" totalsRowShown="0" headerRowDxfId="0" dataDxfId="1">
  <autoFilter ref="L11:M17" xr:uid="{7075D295-C3AD-4082-B44B-695441E4CD14}"/>
  <tableColumns count="2">
    <tableColumn id="1" xr3:uid="{F7FB4178-74CC-445E-A56C-38CB1863783A}" name="Company" dataDxfId="3"/>
    <tableColumn id="2" xr3:uid="{1998A55D-B533-4C68-BD5A-7A6BCDC70D7F}" name="sentiment_sco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969C8E-8395-4904-A39D-32F416D9B96E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bCl8rpagEvsRz98KQhkhj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7B70-C9B3-4864-BF25-E9C8F168480B}">
  <dimension ref="A1:P12"/>
  <sheetViews>
    <sheetView zoomScale="79" workbookViewId="0">
      <selection activeCell="E34" sqref="E34"/>
    </sheetView>
  </sheetViews>
  <sheetFormatPr defaultColWidth="14.59765625" defaultRowHeight="14.25" x14ac:dyDescent="0.45"/>
  <cols>
    <col min="1" max="16384" width="14.59765625" style="3"/>
  </cols>
  <sheetData>
    <row r="1" spans="1:16" x14ac:dyDescent="0.45">
      <c r="A1" s="3" t="s">
        <v>0</v>
      </c>
      <c r="B1" s="3">
        <v>0</v>
      </c>
      <c r="C1" s="3" t="s">
        <v>13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15</v>
      </c>
      <c r="L1" s="3" t="s">
        <v>16</v>
      </c>
      <c r="N1" s="3" t="s">
        <v>11</v>
      </c>
      <c r="O1" s="3" t="s">
        <v>12</v>
      </c>
      <c r="P1" s="3">
        <v>0.25</v>
      </c>
    </row>
    <row r="2" spans="1:16" x14ac:dyDescent="0.45">
      <c r="A2" s="3" t="s">
        <v>1</v>
      </c>
      <c r="B2" s="3">
        <v>0.210562165995514</v>
      </c>
      <c r="C2" s="3">
        <f>B2 * (1 + N2 * $P$1)</f>
        <v>0.2066157260354349</v>
      </c>
      <c r="D2" s="3" t="s">
        <v>1</v>
      </c>
      <c r="E2" s="3">
        <v>6.3572172999999996E-2</v>
      </c>
      <c r="F2" s="3">
        <v>1.1280187000000001E-2</v>
      </c>
      <c r="G2" s="3">
        <v>1.5030854999999999E-2</v>
      </c>
      <c r="H2" s="3">
        <v>2.8375580000000001E-2</v>
      </c>
      <c r="I2" s="3">
        <v>9.1479850000000008E-3</v>
      </c>
      <c r="J2" s="3">
        <v>5.866741E-3</v>
      </c>
      <c r="K2" s="3">
        <v>8.6378312501976195E-2</v>
      </c>
      <c r="L2" s="3">
        <v>5.9843634197266501E-2</v>
      </c>
      <c r="M2" s="3" t="s">
        <v>1</v>
      </c>
      <c r="N2" s="3">
        <v>-7.4969592783600006E-2</v>
      </c>
    </row>
    <row r="3" spans="1:16" x14ac:dyDescent="0.45">
      <c r="A3" s="3" t="s">
        <v>2</v>
      </c>
      <c r="B3" s="3">
        <v>0.103864377191353</v>
      </c>
      <c r="C3" s="3">
        <f>B3 * (1 + N3 * $P$1)</f>
        <v>0.11265327263559771</v>
      </c>
      <c r="D3" s="3" t="s">
        <v>2</v>
      </c>
      <c r="E3" s="3">
        <v>1.1280187000000001E-2</v>
      </c>
      <c r="F3" s="3">
        <v>2.6899242E-2</v>
      </c>
      <c r="G3" s="3">
        <v>1.3166918E-2</v>
      </c>
      <c r="H3" s="3">
        <v>3.5958219999999998E-3</v>
      </c>
      <c r="I3" s="3">
        <v>1.1894244E-2</v>
      </c>
      <c r="J3" s="3">
        <v>1.0929052E-2</v>
      </c>
      <c r="K3" s="3">
        <v>2.4073916791035981E-2</v>
      </c>
      <c r="L3" s="3">
        <v>5.3666099622987538E-2</v>
      </c>
      <c r="M3" s="3" t="s">
        <v>2</v>
      </c>
      <c r="N3" s="3">
        <v>0.33847583481110599</v>
      </c>
    </row>
    <row r="4" spans="1:16" x14ac:dyDescent="0.45">
      <c r="A4" s="3" t="s">
        <v>3</v>
      </c>
      <c r="B4" s="3">
        <v>0.29736550244969601</v>
      </c>
      <c r="C4" s="3">
        <f>B4 * (1 + N4 * $P$1)</f>
        <v>0.31170575734185035</v>
      </c>
      <c r="D4" s="3" t="s">
        <v>3</v>
      </c>
      <c r="E4" s="3">
        <v>1.5030854999999999E-2</v>
      </c>
      <c r="F4" s="3">
        <v>1.3166918E-2</v>
      </c>
      <c r="G4" s="3">
        <v>6.5412639999999994E-2</v>
      </c>
      <c r="H4" s="3">
        <v>1.7083984999999999E-2</v>
      </c>
      <c r="I4" s="3">
        <v>6.3406139999999996E-3</v>
      </c>
      <c r="J4" s="3">
        <v>3.1784927999999997E-2</v>
      </c>
      <c r="K4" s="3">
        <v>0.15945472574860325</v>
      </c>
      <c r="L4" s="3">
        <v>0.16455882571201877</v>
      </c>
      <c r="M4" s="3" t="s">
        <v>3</v>
      </c>
      <c r="N4" s="3">
        <v>0.192897357279434</v>
      </c>
    </row>
    <row r="5" spans="1:16" x14ac:dyDescent="0.45">
      <c r="A5" s="3" t="s">
        <v>4</v>
      </c>
      <c r="B5" s="3">
        <v>0.22523823209927701</v>
      </c>
      <c r="C5" s="3">
        <f>B5 * (1 + N5 * $P$1)</f>
        <v>0.2292169683547691</v>
      </c>
      <c r="D5" s="3" t="s">
        <v>4</v>
      </c>
      <c r="E5" s="3">
        <v>2.8375580000000001E-2</v>
      </c>
      <c r="F5" s="3">
        <v>3.5958219999999998E-3</v>
      </c>
      <c r="G5" s="3">
        <v>1.7083984999999999E-2</v>
      </c>
      <c r="H5" s="3">
        <v>4.9975897999999998E-2</v>
      </c>
      <c r="I5" s="3">
        <v>9.1845899999999994E-3</v>
      </c>
      <c r="J5" s="3">
        <v>-3.127248E-3</v>
      </c>
      <c r="K5" s="3">
        <v>0.36113744259714858</v>
      </c>
      <c r="L5" s="3">
        <v>0.35956494634380703</v>
      </c>
      <c r="M5" s="3" t="s">
        <v>4</v>
      </c>
      <c r="N5" s="3">
        <v>7.0658275345340305E-2</v>
      </c>
    </row>
    <row r="6" spans="1:16" x14ac:dyDescent="0.45">
      <c r="A6" s="3" t="s">
        <v>5</v>
      </c>
      <c r="B6" s="3">
        <v>6.22130481591524E-2</v>
      </c>
      <c r="C6" s="3">
        <f>B6 * (1 + N6 * $P$1)</f>
        <v>6.5099155571680084E-2</v>
      </c>
      <c r="D6" s="3" t="s">
        <v>5</v>
      </c>
      <c r="E6" s="3">
        <v>9.1479850000000008E-3</v>
      </c>
      <c r="F6" s="3">
        <v>1.1894244E-2</v>
      </c>
      <c r="G6" s="3">
        <v>6.3406139999999996E-3</v>
      </c>
      <c r="H6" s="3">
        <v>9.1845899999999994E-3</v>
      </c>
      <c r="I6" s="3">
        <v>3.0721609E-2</v>
      </c>
      <c r="J6" s="3">
        <v>3.74545E-3</v>
      </c>
      <c r="K6" s="3">
        <v>0</v>
      </c>
      <c r="L6" s="3">
        <v>0</v>
      </c>
      <c r="M6" s="3" t="s">
        <v>5</v>
      </c>
      <c r="N6" s="3">
        <v>0.18556283595971701</v>
      </c>
    </row>
    <row r="7" spans="1:16" x14ac:dyDescent="0.45">
      <c r="A7" s="3" t="s">
        <v>6</v>
      </c>
      <c r="B7" s="3">
        <v>0.337230401302133</v>
      </c>
      <c r="C7" s="3">
        <f>B7 * (1 + N7 * $P$1)</f>
        <v>0.35077918643007694</v>
      </c>
      <c r="D7" s="3" t="s">
        <v>6</v>
      </c>
      <c r="E7" s="3">
        <v>5.866741E-3</v>
      </c>
      <c r="F7" s="3">
        <v>1.0929052E-2</v>
      </c>
      <c r="G7" s="3">
        <v>3.1784927999999997E-2</v>
      </c>
      <c r="H7" s="3">
        <v>-3.127248E-3</v>
      </c>
      <c r="I7" s="3">
        <v>3.74545E-3</v>
      </c>
      <c r="J7" s="3">
        <v>8.0056705000000006E-2</v>
      </c>
      <c r="K7" s="3">
        <v>0.36895560236123559</v>
      </c>
      <c r="L7" s="3">
        <v>0.36236649405079435</v>
      </c>
      <c r="M7" s="3" t="s">
        <v>6</v>
      </c>
      <c r="N7" s="3">
        <v>0.160706568276509</v>
      </c>
    </row>
    <row r="8" spans="1:16" x14ac:dyDescent="0.45">
      <c r="K8" s="3">
        <f>SUM(K2:K7)</f>
        <v>0.99999999999999967</v>
      </c>
      <c r="L8" s="3">
        <f>SUM(L2:L7)</f>
        <v>0.99999999992687416</v>
      </c>
    </row>
    <row r="9" spans="1:16" x14ac:dyDescent="0.45">
      <c r="D9" s="3" t="s">
        <v>7</v>
      </c>
      <c r="E9" s="4">
        <v>0.02</v>
      </c>
    </row>
    <row r="10" spans="1:16" x14ac:dyDescent="0.45">
      <c r="D10" s="3" t="s">
        <v>8</v>
      </c>
      <c r="E10" s="3">
        <f>SUMPRODUCT(C2:C7, L2:L7)</f>
        <v>0.27923324197646476</v>
      </c>
    </row>
    <row r="11" spans="1:16" x14ac:dyDescent="0.45">
      <c r="D11" s="3" t="s">
        <v>10</v>
      </c>
      <c r="E11" s="3" cm="1">
        <f t="array" ref="E11">SQRT(MMULT(TRANSPOSE(L2:L7), MMULT(E2:J7, L2:L7)))</f>
        <v>0.16336434410604211</v>
      </c>
    </row>
    <row r="12" spans="1:16" x14ac:dyDescent="0.45">
      <c r="D12" s="3" t="s">
        <v>9</v>
      </c>
      <c r="E12" s="3">
        <f>(E10-E9)/E11</f>
        <v>1.5868410172062564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C37F3-95B8-4F8F-9FD3-F2C362F70EFD}">
  <dimension ref="A1:M17"/>
  <sheetViews>
    <sheetView showGridLines="0" tabSelected="1" zoomScale="72" workbookViewId="0">
      <selection activeCell="M25" sqref="M25"/>
    </sheetView>
  </sheetViews>
  <sheetFormatPr defaultColWidth="15.59765625" defaultRowHeight="14.25" x14ac:dyDescent="0.45"/>
  <sheetData>
    <row r="1" spans="1:13" ht="15" customHeight="1" x14ac:dyDescent="0.45">
      <c r="A1" s="2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3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5" spans="1:13" x14ac:dyDescent="0.45">
      <c r="K5" t="s">
        <v>8</v>
      </c>
      <c r="L5">
        <v>0.27923324197646476</v>
      </c>
    </row>
    <row r="6" spans="1:13" x14ac:dyDescent="0.45">
      <c r="K6" t="s">
        <v>10</v>
      </c>
      <c r="L6">
        <v>0.16336434410604211</v>
      </c>
    </row>
    <row r="7" spans="1:13" x14ac:dyDescent="0.45">
      <c r="K7" t="s">
        <v>9</v>
      </c>
      <c r="L7">
        <v>1.5868410172062564</v>
      </c>
    </row>
    <row r="11" spans="1:13" x14ac:dyDescent="0.45">
      <c r="L11" s="3" t="s">
        <v>17</v>
      </c>
      <c r="M11" s="3" t="s">
        <v>11</v>
      </c>
    </row>
    <row r="12" spans="1:13" x14ac:dyDescent="0.45">
      <c r="L12" s="3" t="s">
        <v>1</v>
      </c>
      <c r="M12" s="3">
        <v>-7.4969592783600006E-2</v>
      </c>
    </row>
    <row r="13" spans="1:13" x14ac:dyDescent="0.45">
      <c r="L13" s="3" t="s">
        <v>2</v>
      </c>
      <c r="M13" s="3">
        <v>0.33847583481110599</v>
      </c>
    </row>
    <row r="14" spans="1:13" x14ac:dyDescent="0.45">
      <c r="L14" s="3" t="s">
        <v>3</v>
      </c>
      <c r="M14" s="3">
        <v>0.192897357279434</v>
      </c>
    </row>
    <row r="15" spans="1:13" x14ac:dyDescent="0.45">
      <c r="L15" s="3" t="s">
        <v>4</v>
      </c>
      <c r="M15" s="3">
        <v>7.0658275345340305E-2</v>
      </c>
    </row>
    <row r="16" spans="1:13" x14ac:dyDescent="0.45">
      <c r="L16" s="3" t="s">
        <v>5</v>
      </c>
      <c r="M16" s="3">
        <v>0.18556283595971701</v>
      </c>
    </row>
    <row r="17" spans="12:13" x14ac:dyDescent="0.45">
      <c r="L17" s="3" t="s">
        <v>6</v>
      </c>
      <c r="M17" s="3">
        <v>0.160706568276509</v>
      </c>
    </row>
  </sheetData>
  <mergeCells count="1">
    <mergeCell ref="A1:L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calculation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Yadav</dc:creator>
  <cp:lastModifiedBy>Arjun Yadav</cp:lastModifiedBy>
  <dcterms:created xsi:type="dcterms:W3CDTF">2025-09-30T21:46:53Z</dcterms:created>
  <dcterms:modified xsi:type="dcterms:W3CDTF">2025-10-01T00:00:22Z</dcterms:modified>
</cp:coreProperties>
</file>